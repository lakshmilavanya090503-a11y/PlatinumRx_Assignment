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tsla\OneDrive\Desktop\Data_Analyst_Assignment\Spreadsheets\"/>
    </mc:Choice>
  </mc:AlternateContent>
  <xr:revisionPtr revIDLastSave="0" documentId="13_ncr:1_{54181557-9937-4801-85F0-90DFCC44E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J3" i="1"/>
  <c r="J2" i="1"/>
  <c r="H3" i="1"/>
  <c r="G3" i="1"/>
  <c r="D3" i="2"/>
  <c r="H2" i="1"/>
  <c r="G2" i="1"/>
  <c r="D2" i="2"/>
  <c r="B2" i="1"/>
</calcChain>
</file>

<file path=xl/sharedStrings.xml><?xml version="1.0" encoding="utf-8"?>
<sst xmlns="http://schemas.openxmlformats.org/spreadsheetml/2006/main" count="25" uniqueCount="20">
  <si>
    <t>ticket_id</t>
  </si>
  <si>
    <t>created_at</t>
  </si>
  <si>
    <t>closed_at</t>
  </si>
  <si>
    <t>outlet_id</t>
  </si>
  <si>
    <t>cms_id</t>
  </si>
  <si>
    <t>feedback_at</t>
  </si>
  <si>
    <t>feedback_rating</t>
  </si>
  <si>
    <t>ticket_created_at</t>
  </si>
  <si>
    <t>isu-sjd-457</t>
  </si>
  <si>
    <t>qer-fal-092</t>
  </si>
  <si>
    <t xml:space="preserve"> wrqy-juv-978</t>
  </si>
  <si>
    <t>8woh-k3u-23b</t>
  </si>
  <si>
    <t>vew-iuvd-12</t>
  </si>
  <si>
    <t>abc-123</t>
  </si>
  <si>
    <t>same_day</t>
  </si>
  <si>
    <t>same_hour</t>
  </si>
  <si>
    <t>same_day_count</t>
  </si>
  <si>
    <t>same_hour_count</t>
  </si>
  <si>
    <t>wrqv-iuv-978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</si>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</sst>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1" max="2" width="10.109375" customWidth="1"/>
    <col min="3" max="4" width="15.77734375" customWidth="1"/>
    <col min="5" max="5" width="13.5546875" customWidth="1"/>
    <col min="6" max="6" width="11.21875" customWidth="1"/>
    <col min="7" max="7" width="11" customWidth="1"/>
    <col min="8" max="8" width="10.5546875" customWidth="1"/>
    <col min="9" max="9" width="17.109375" customWidth="1"/>
    <col min="10" max="10" width="17.44140625" customWidth="1"/>
    <col min="11" max="11" width="16.44140625" customWidth="1"/>
  </cols>
  <sheetData>
    <row r="1" spans="1:11" x14ac:dyDescent="0.3">
      <c r="A1" s="3" t="s">
        <v>0</v>
      </c>
      <c r="B1" s="3" t="s">
        <v>19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14</v>
      </c>
      <c r="H1" s="3" t="s">
        <v>15</v>
      </c>
      <c r="I1" s="3" t="s">
        <v>3</v>
      </c>
      <c r="J1" s="3" t="s">
        <v>16</v>
      </c>
      <c r="K1" s="3" t="s">
        <v>17</v>
      </c>
    </row>
    <row r="2" spans="1:11" x14ac:dyDescent="0.3">
      <c r="A2" t="s">
        <v>8</v>
      </c>
      <c r="B2">
        <f ca="1">DATEVALUE(LEFT(B2,10)) + TIMEVALUE(MID(B2,12,5))</f>
        <v>0</v>
      </c>
      <c r="C2" s="1">
        <v>44427.698414351849</v>
      </c>
      <c r="D2" s="1">
        <v>44430.523287037038</v>
      </c>
      <c r="E2" t="s">
        <v>10</v>
      </c>
      <c r="F2" t="s">
        <v>12</v>
      </c>
      <c r="G2" t="b">
        <f>TEXT(C2,"yyyy-mm-dd") = TEXT(D2,"yyyy-mm-dd")</f>
        <v>0</v>
      </c>
      <c r="H2" t="b">
        <f>HOUR(C2) = HOUR(D2)</f>
        <v>0</v>
      </c>
      <c r="I2" t="s">
        <v>18</v>
      </c>
      <c r="J2">
        <f>COUNTIFS(D:D, D2, C:C, "&gt;="&amp;INT(C2), C:C, "&lt;"&amp;INT(C2)+1)</f>
        <v>1</v>
      </c>
      <c r="K2">
        <f>COUNTIFS(D:D,D2,C:C,"&gt;="&amp;(C2-MOD(C2,1/24)),C:C,"&lt;"&amp;(C2-MOD(C2,1/24)+1/24))</f>
        <v>1</v>
      </c>
    </row>
    <row r="3" spans="1:11" x14ac:dyDescent="0.3">
      <c r="A3" t="s">
        <v>9</v>
      </c>
      <c r="C3" s="1">
        <v>44429.464837962965</v>
      </c>
      <c r="D3" s="1">
        <v>44429.717881944445</v>
      </c>
      <c r="E3" t="s">
        <v>11</v>
      </c>
      <c r="F3" t="s">
        <v>13</v>
      </c>
      <c r="G3" t="b">
        <f>TEXT(C3,"yyyy-mm-dd") = TEXT(D3,"yyyy-mm-dd")</f>
        <v>1</v>
      </c>
      <c r="H3" t="b">
        <f>HOUR(C3) = HOUR(D3)</f>
        <v>0</v>
      </c>
      <c r="I3" t="s">
        <v>11</v>
      </c>
      <c r="J3">
        <f>COUNTIFS(D:D, D3, C:C, "&gt;="&amp;INT(C2), C:C, "&lt;"&amp;INT(C3)+1)</f>
        <v>1</v>
      </c>
      <c r="K3">
        <f>COUNTIFS(D:D,D3,C:C,"&gt;="&amp;(C3-MOD(C3,1/24)),C:C,"&lt;"&amp;(C3-MOD(C3,1/24)+1/24))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BC3F-BF42-48FB-B6E1-2EE96833EE8B}">
  <dimension ref="A1:E3"/>
  <sheetViews>
    <sheetView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1" max="1" width="11.21875" customWidth="1"/>
    <col min="2" max="2" width="15.5546875" customWidth="1"/>
    <col min="3" max="3" width="14.6640625" customWidth="1"/>
    <col min="4" max="4" width="18.21875" customWidth="1"/>
  </cols>
  <sheetData>
    <row r="1" spans="1:5" x14ac:dyDescent="0.3">
      <c r="A1" s="3" t="s">
        <v>4</v>
      </c>
      <c r="B1" s="3" t="s">
        <v>5</v>
      </c>
      <c r="C1" s="3" t="s">
        <v>6</v>
      </c>
      <c r="D1" s="3" t="s">
        <v>7</v>
      </c>
      <c r="E1" s="3"/>
    </row>
    <row r="2" spans="1:5" x14ac:dyDescent="0.3">
      <c r="A2" t="s">
        <v>12</v>
      </c>
      <c r="B2" s="1">
        <v>44429.560277777775</v>
      </c>
      <c r="C2">
        <v>3</v>
      </c>
      <c r="D2" s="2">
        <f>INDEX(ticket!C:C, MATCH(A2, ticket!F:F, 0))</f>
        <v>44427.698414351849</v>
      </c>
    </row>
    <row r="3" spans="1:5" x14ac:dyDescent="0.3">
      <c r="A3" t="s">
        <v>13</v>
      </c>
      <c r="B3" s="1">
        <v>44430.416666666664</v>
      </c>
      <c r="D3" s="2">
        <f>INDEX(ticket!C:C, MATCH(A3, ticket!F:F, 0))</f>
        <v>44429.464837962965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lavanya</dc:creator>
  <cp:lastModifiedBy>lakshmi lavanya</cp:lastModifiedBy>
  <dcterms:created xsi:type="dcterms:W3CDTF">2015-06-05T18:17:20Z</dcterms:created>
  <dcterms:modified xsi:type="dcterms:W3CDTF">2026-04-08T16:28:51Z</dcterms:modified>
</cp:coreProperties>
</file>